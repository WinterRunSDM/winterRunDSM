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629193-my.sharepoint.com/personal/cpien_flowwest_com/Documents/Documents/Github/shasta-sdm/winterRunDSM/wr_sdm/consequence_tables/"/>
    </mc:Choice>
  </mc:AlternateContent>
  <xr:revisionPtr revIDLastSave="21" documentId="8_{34636CE1-49ED-4D4D-9578-10AA6B216942}" xr6:coauthVersionLast="47" xr6:coauthVersionMax="47" xr10:uidLastSave="{6F1AB428-A4FD-4AE9-93E3-D0706EAC0B66}"/>
  <bookViews>
    <workbookView xWindow="-24360" yWindow="-270" windowWidth="21600" windowHeight="11235" xr2:uid="{9707D464-3622-4F04-9E64-EC8602A7C0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4" i="2"/>
  <c r="C4" i="2"/>
  <c r="D4" i="2"/>
  <c r="E4" i="2"/>
  <c r="F4" i="2"/>
  <c r="G4" i="2"/>
  <c r="H4" i="2"/>
  <c r="I4" i="2"/>
  <c r="J4" i="2"/>
  <c r="K4" i="2"/>
  <c r="L4" i="2"/>
  <c r="M4" i="2"/>
  <c r="A4" i="2"/>
</calcChain>
</file>

<file path=xl/sharedStrings.xml><?xml version="1.0" encoding="utf-8"?>
<sst xmlns="http://schemas.openxmlformats.org/spreadsheetml/2006/main" count="31" uniqueCount="31">
  <si>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</si>
  <si>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</si>
  <si>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</si>
  <si>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</si>
  <si>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</si>
  <si>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</si>
  <si>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</si>
  <si>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</si>
  <si>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</si>
  <si>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</si>
  <si>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</si>
  <si>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natural_natural</t>
  </si>
  <si>
    <t>species_fr</t>
  </si>
  <si>
    <t>species_other</t>
  </si>
  <si>
    <t>timeliness_initiation</t>
  </si>
  <si>
    <t>timeliness_benefits</t>
  </si>
  <si>
    <t>cost_cost</t>
  </si>
  <si>
    <t>weight_set</t>
  </si>
  <si>
    <t>mean_spawners</t>
  </si>
  <si>
    <t>mean_phos</t>
  </si>
  <si>
    <t>max_decline</t>
  </si>
  <si>
    <t>cat_decline</t>
  </si>
  <si>
    <t>mean_juv</t>
  </si>
  <si>
    <t>mean_jac</t>
  </si>
  <si>
    <t>mean_crr</t>
  </si>
  <si>
    <t>avg_annual_shannon_di_size</t>
  </si>
  <si>
    <t>mean_phos_d</t>
  </si>
  <si>
    <t>mean_spawners_trib</t>
  </si>
  <si>
    <t>ind_pop</t>
  </si>
  <si>
    <t>mean_rear_prop</t>
  </si>
  <si>
    <t>hab_access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</si>
</sst>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A1D7B0"/>
        <bgColor rgb="FF000000"/>
      </patternFill>
    </fill>
    <fill>
      <patternFill patternType="solid">
        <fgColor rgb="FFF1F8F6"/>
        <bgColor rgb="FF000000"/>
      </patternFill>
    </fill>
    <fill>
      <patternFill patternType="solid">
        <fgColor rgb="FFE1F1E8"/>
        <bgColor rgb="FF000000"/>
      </patternFill>
    </fill>
    <fill>
      <patternFill patternType="solid">
        <fgColor rgb="FFC5E6CF"/>
        <bgColor rgb="FF000000"/>
      </patternFill>
    </fill>
    <fill>
      <patternFill patternType="solid">
        <fgColor rgb="FFB3DFC0"/>
        <bgColor rgb="FF000000"/>
      </patternFill>
    </fill>
    <fill>
      <patternFill patternType="solid">
        <fgColor rgb="FFFCFCFF"/>
        <bgColor rgb="FF000000"/>
      </patternFill>
    </fill>
    <fill>
      <patternFill patternType="solid">
        <fgColor rgb="FF79C78E"/>
        <bgColor rgb="FF000000"/>
      </patternFill>
    </fill>
    <fill>
      <patternFill patternType="solid">
        <fgColor rgb="FFEFF7F4"/>
        <bgColor rgb="FF000000"/>
      </patternFill>
    </fill>
    <fill>
      <patternFill patternType="solid">
        <fgColor rgb="FFB2DEBF"/>
        <bgColor rgb="FF000000"/>
      </patternFill>
    </fill>
    <fill>
      <patternFill patternType="solid">
        <fgColor rgb="FFD5ECDD"/>
        <bgColor rgb="FF000000"/>
      </patternFill>
    </fill>
    <fill>
      <patternFill patternType="solid">
        <fgColor rgb="FFB9E1C5"/>
        <bgColor rgb="FF000000"/>
      </patternFill>
    </fill>
    <fill>
      <patternFill patternType="solid">
        <fgColor rgb="FFB5DFC2"/>
        <bgColor rgb="FF000000"/>
      </patternFill>
    </fill>
    <fill>
      <patternFill patternType="solid">
        <fgColor rgb="FFFBFCFE"/>
        <bgColor rgb="FF000000"/>
      </patternFill>
    </fill>
    <fill>
      <patternFill patternType="solid">
        <fgColor rgb="FFEEF7F3"/>
        <bgColor rgb="FF000000"/>
      </patternFill>
    </fill>
    <fill>
      <patternFill patternType="solid">
        <fgColor rgb="FFF8FBFC"/>
        <bgColor rgb="FF000000"/>
      </patternFill>
    </fill>
    <fill>
      <patternFill patternType="solid">
        <fgColor rgb="FFC9E8D3"/>
        <bgColor rgb="FF000000"/>
      </patternFill>
    </fill>
    <fill>
      <patternFill patternType="solid">
        <fgColor rgb="FFDCEFE3"/>
        <bgColor rgb="FF000000"/>
      </patternFill>
    </fill>
    <fill>
      <patternFill patternType="solid">
        <fgColor rgb="FFE6F3EC"/>
        <bgColor rgb="FF000000"/>
      </patternFill>
    </fill>
    <fill>
      <patternFill patternType="solid">
        <fgColor rgb="FFECF6F2"/>
        <bgColor rgb="FF000000"/>
      </patternFill>
    </fill>
    <fill>
      <patternFill patternType="solid">
        <fgColor rgb="FFF2F8F6"/>
        <bgColor rgb="FF000000"/>
      </patternFill>
    </fill>
    <fill>
      <patternFill patternType="solid">
        <fgColor rgb="FFFAFBFD"/>
        <bgColor rgb="FF000000"/>
      </patternFill>
    </fill>
    <fill>
      <patternFill patternType="solid">
        <fgColor rgb="FFB4DFC1"/>
        <bgColor rgb="FF000000"/>
      </patternFill>
    </fill>
    <fill>
      <patternFill patternType="solid">
        <fgColor rgb="FFCEEAD7"/>
        <bgColor rgb="FF000000"/>
      </patternFill>
    </fill>
    <fill>
      <patternFill patternType="solid">
        <fgColor rgb="FFF9FBFD"/>
        <bgColor rgb="FF000000"/>
      </patternFill>
    </fill>
    <fill>
      <patternFill patternType="solid">
        <fgColor rgb="FFE7F4ED"/>
        <bgColor rgb="FF000000"/>
      </patternFill>
    </fill>
    <fill>
      <patternFill patternType="solid">
        <fgColor rgb="FFF2F8F7"/>
        <bgColor rgb="FF000000"/>
      </patternFill>
    </fill>
    <fill>
      <patternFill patternType="solid">
        <fgColor rgb="FF95D3A7"/>
        <bgColor rgb="FF000000"/>
      </patternFill>
    </fill>
    <fill>
      <patternFill patternType="solid">
        <fgColor rgb="FFF5F9F9"/>
        <bgColor rgb="FF000000"/>
      </patternFill>
    </fill>
    <fill>
      <patternFill patternType="solid">
        <fgColor rgb="FFC0E4CB"/>
        <bgColor rgb="FF000000"/>
      </patternFill>
    </fill>
    <fill>
      <patternFill patternType="solid">
        <fgColor rgb="FFF6FAFA"/>
        <bgColor rgb="FF000000"/>
      </patternFill>
    </fill>
    <fill>
      <patternFill patternType="solid">
        <fgColor rgb="FFC7E7D1"/>
        <bgColor rgb="FF000000"/>
      </patternFill>
    </fill>
    <fill>
      <patternFill patternType="solid">
        <fgColor rgb="FFD9EEE1"/>
        <bgColor rgb="FF000000"/>
      </patternFill>
    </fill>
    <fill>
      <patternFill patternType="solid">
        <fgColor rgb="FFCFEAD8"/>
        <bgColor rgb="FF000000"/>
      </patternFill>
    </fill>
    <fill>
      <patternFill patternType="solid">
        <fgColor rgb="FFDFF0E6"/>
        <bgColor rgb="FF000000"/>
      </patternFill>
    </fill>
    <fill>
      <patternFill patternType="solid">
        <fgColor rgb="FFD7EDDF"/>
        <bgColor rgb="FF000000"/>
      </patternFill>
    </fill>
    <fill>
      <patternFill patternType="solid">
        <fgColor rgb="FFD8EEE0"/>
        <bgColor rgb="FF000000"/>
      </patternFill>
    </fill>
    <fill>
      <patternFill patternType="solid">
        <fgColor rgb="FFD4ECDD"/>
        <bgColor rgb="FF000000"/>
      </patternFill>
    </fill>
    <fill>
      <patternFill patternType="solid">
        <fgColor rgb="FFBFE3CA"/>
        <bgColor rgb="FF000000"/>
      </patternFill>
    </fill>
    <fill>
      <patternFill patternType="solid">
        <fgColor rgb="FFB8E1C5"/>
        <bgColor rgb="FF000000"/>
      </patternFill>
    </fill>
    <fill>
      <patternFill patternType="solid">
        <fgColor rgb="FFBAE1C6"/>
        <bgColor rgb="FF000000"/>
      </patternFill>
    </fill>
    <fill>
      <patternFill patternType="solid">
        <fgColor rgb="FFE5F3EB"/>
        <bgColor rgb="FF000000"/>
      </patternFill>
    </fill>
    <fill>
      <patternFill patternType="solid">
        <fgColor rgb="FFCBE9D5"/>
        <bgColor rgb="FF000000"/>
      </patternFill>
    </fill>
    <fill>
      <patternFill patternType="solid">
        <fgColor rgb="FFC3E5CE"/>
        <bgColor rgb="FF000000"/>
      </patternFill>
    </fill>
    <fill>
      <patternFill patternType="solid">
        <fgColor rgb="FFE2F2E8"/>
        <bgColor rgb="FF000000"/>
      </patternFill>
    </fill>
    <fill>
      <patternFill patternType="solid">
        <fgColor rgb="FFCEEAD8"/>
        <bgColor rgb="FF000000"/>
      </patternFill>
    </fill>
    <fill>
      <patternFill patternType="solid">
        <fgColor rgb="FFA7DAB6"/>
        <bgColor rgb="FF000000"/>
      </patternFill>
    </fill>
    <fill>
      <patternFill patternType="solid">
        <fgColor rgb="FFDAEFE2"/>
        <bgColor rgb="FF000000"/>
      </patternFill>
    </fill>
    <fill>
      <patternFill patternType="solid">
        <fgColor rgb="FFF0F7F4"/>
        <bgColor rgb="FF000000"/>
      </patternFill>
    </fill>
    <fill>
      <patternFill patternType="solid">
        <fgColor rgb="FFA4D9B3"/>
        <bgColor rgb="FF000000"/>
      </patternFill>
    </fill>
    <fill>
      <patternFill patternType="solid">
        <fgColor rgb="FFEBF6F1"/>
        <bgColor rgb="FF000000"/>
      </patternFill>
    </fill>
    <fill>
      <patternFill patternType="solid">
        <fgColor rgb="FFCDE9D6"/>
        <bgColor rgb="FF000000"/>
      </patternFill>
    </fill>
    <fill>
      <patternFill patternType="solid">
        <fgColor rgb="FF87CD9A"/>
        <bgColor rgb="FF000000"/>
      </patternFill>
    </fill>
    <fill>
      <patternFill patternType="solid">
        <fgColor rgb="FFE3F2E9"/>
        <bgColor rgb="FF000000"/>
      </patternFill>
    </fill>
    <fill>
      <patternFill patternType="solid">
        <fgColor rgb="FF8ACE9D"/>
        <bgColor rgb="FF000000"/>
      </patternFill>
    </fill>
    <fill>
      <patternFill patternType="solid">
        <fgColor rgb="FFDBEFE3"/>
        <bgColor rgb="FF000000"/>
      </patternFill>
    </fill>
    <fill>
      <patternFill patternType="solid">
        <fgColor rgb="FFBEE3C9"/>
        <bgColor rgb="FF000000"/>
      </patternFill>
    </fill>
    <fill>
      <patternFill patternType="solid">
        <fgColor rgb="FFA6DAB5"/>
        <bgColor rgb="FF000000"/>
      </patternFill>
    </fill>
    <fill>
      <patternFill patternType="solid">
        <fgColor rgb="FFF8FAFB"/>
        <bgColor rgb="FF000000"/>
      </patternFill>
    </fill>
    <fill>
      <patternFill patternType="solid">
        <fgColor rgb="FFFAFCFE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B7E0C4"/>
        <bgColor rgb="FF000000"/>
      </patternFill>
    </fill>
    <fill>
      <patternFill patternType="solid">
        <fgColor rgb="FFBBE2C7"/>
        <bgColor rgb="FF000000"/>
      </patternFill>
    </fill>
    <fill>
      <patternFill patternType="solid">
        <fgColor rgb="FFF7FAFB"/>
        <bgColor rgb="FF000000"/>
      </patternFill>
    </fill>
    <fill>
      <patternFill patternType="solid">
        <fgColor rgb="FFCAE8D4"/>
        <bgColor rgb="FF000000"/>
      </patternFill>
    </fill>
    <fill>
      <patternFill patternType="solid">
        <fgColor rgb="FFE5F3EC"/>
        <bgColor rgb="FF000000"/>
      </patternFill>
    </fill>
    <fill>
      <patternFill patternType="solid">
        <fgColor rgb="FFE1F1E7"/>
        <bgColor rgb="FF000000"/>
      </patternFill>
    </fill>
    <fill>
      <patternFill patternType="solid">
        <fgColor rgb="FFD1EBDA"/>
        <bgColor rgb="FF000000"/>
      </patternFill>
    </fill>
    <fill>
      <patternFill patternType="solid">
        <fgColor rgb="FFD3ECDC"/>
        <bgColor rgb="FF000000"/>
      </patternFill>
    </fill>
    <fill>
      <patternFill patternType="solid">
        <fgColor rgb="FFF5FAF9"/>
        <bgColor rgb="FF000000"/>
      </patternFill>
    </fill>
    <fill>
      <patternFill patternType="solid">
        <fgColor rgb="FFF9FBFC"/>
        <bgColor rgb="FF000000"/>
      </patternFill>
    </fill>
    <fill>
      <patternFill patternType="solid">
        <fgColor rgb="FFE9F4EE"/>
        <bgColor rgb="FF000000"/>
      </patternFill>
    </fill>
    <fill>
      <patternFill patternType="solid">
        <fgColor rgb="FFDEF0E5"/>
        <bgColor rgb="FF000000"/>
      </patternFill>
    </fill>
    <fill>
      <patternFill patternType="solid">
        <fgColor rgb="FFECF6F1"/>
        <bgColor rgb="FF000000"/>
      </patternFill>
    </fill>
    <fill>
      <patternFill patternType="solid">
        <fgColor rgb="FFA9DBB7"/>
        <bgColor rgb="FF000000"/>
      </patternFill>
    </fill>
    <fill>
      <patternFill patternType="solid">
        <fgColor rgb="FFF3F9F7"/>
        <bgColor rgb="FF000000"/>
      </patternFill>
    </fill>
    <fill>
      <patternFill patternType="solid">
        <fgColor rgb="FFADDCBB"/>
        <bgColor rgb="FF000000"/>
      </patternFill>
    </fill>
    <fill>
      <patternFill patternType="solid">
        <fgColor rgb="FFC4E6CF"/>
        <bgColor rgb="FF000000"/>
      </patternFill>
    </fill>
    <fill>
      <patternFill patternType="solid">
        <fgColor rgb="FFEBF5F0"/>
        <bgColor rgb="FF000000"/>
      </patternFill>
    </fill>
    <fill>
      <patternFill patternType="solid">
        <fgColor rgb="FFD2EBDB"/>
        <bgColor rgb="FF000000"/>
      </patternFill>
    </fill>
    <fill>
      <patternFill patternType="solid">
        <fgColor rgb="FFE8F4EE"/>
        <bgColor rgb="FF000000"/>
      </patternFill>
    </fill>
    <fill>
      <patternFill patternType="solid">
        <fgColor rgb="FFA7DAB5"/>
        <bgColor rgb="FF000000"/>
      </patternFill>
    </fill>
    <fill>
      <patternFill patternType="solid">
        <fgColor rgb="FFAFDDBD"/>
        <bgColor rgb="FF000000"/>
      </patternFill>
    </fill>
    <fill>
      <patternFill patternType="solid">
        <fgColor rgb="FFCBE8D5"/>
        <bgColor rgb="FF000000"/>
      </patternFill>
    </fill>
    <fill>
      <patternFill patternType="solid">
        <fgColor rgb="FFE9F5EF"/>
        <bgColor rgb="FF000000"/>
      </patternFill>
    </fill>
    <fill>
      <patternFill patternType="solid">
        <fgColor rgb="FFE3F2EA"/>
        <bgColor rgb="FF000000"/>
      </patternFill>
    </fill>
    <fill>
      <patternFill patternType="solid">
        <fgColor rgb="FF70C486"/>
        <bgColor rgb="FF000000"/>
      </patternFill>
    </fill>
    <fill>
      <patternFill patternType="solid">
        <fgColor rgb="FFA3D8B2"/>
        <bgColor rgb="FF000000"/>
      </patternFill>
    </fill>
    <fill>
      <patternFill patternType="solid">
        <fgColor rgb="FFBDE3C9"/>
        <bgColor rgb="FF000000"/>
      </patternFill>
    </fill>
    <fill>
      <patternFill patternType="solid">
        <fgColor rgb="FFC6E6D0"/>
        <bgColor rgb="FF000000"/>
      </patternFill>
    </fill>
    <fill>
      <patternFill patternType="solid">
        <fgColor rgb="FFDDF0E4"/>
        <bgColor rgb="FF000000"/>
      </patternFill>
    </fill>
    <fill>
      <patternFill patternType="solid">
        <fgColor rgb="FFA2D8B2"/>
        <bgColor rgb="FF000000"/>
      </patternFill>
    </fill>
    <fill>
      <patternFill patternType="solid">
        <fgColor rgb="FFC5E6D0"/>
        <bgColor rgb="FF000000"/>
      </patternFill>
    </fill>
    <fill>
      <patternFill patternType="solid">
        <fgColor rgb="FFAEDDBC"/>
        <bgColor rgb="FF000000"/>
      </patternFill>
    </fill>
    <fill>
      <patternFill patternType="solid">
        <fgColor rgb="FF6AC181"/>
        <bgColor rgb="FF000000"/>
      </patternFill>
    </fill>
    <fill>
      <patternFill patternType="solid">
        <fgColor rgb="FFD0EAD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1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8" borderId="5" xfId="0" applyFont="1" applyFill="1" applyBorder="1"/>
    <xf numFmtId="0" fontId="1" fillId="9" borderId="5" xfId="0" applyFont="1" applyFill="1" applyBorder="1"/>
    <xf numFmtId="0" fontId="1" fillId="10" borderId="5" xfId="0" applyFont="1" applyFill="1" applyBorder="1"/>
    <xf numFmtId="0" fontId="1" fillId="11" borderId="5" xfId="0" applyFont="1" applyFill="1" applyBorder="1"/>
    <xf numFmtId="0" fontId="1" fillId="12" borderId="6" xfId="0" applyFont="1" applyFill="1" applyBorder="1"/>
    <xf numFmtId="0" fontId="1" fillId="13" borderId="7" xfId="0" applyFont="1" applyFill="1" applyBorder="1"/>
    <xf numFmtId="0" fontId="1" fillId="3" borderId="7" xfId="0" applyFont="1" applyFill="1" applyBorder="1"/>
    <xf numFmtId="0" fontId="1" fillId="7" borderId="7" xfId="0" applyFont="1" applyFill="1" applyBorder="1"/>
    <xf numFmtId="0" fontId="1" fillId="14" borderId="7" xfId="0" applyFont="1" applyFill="1" applyBorder="1"/>
    <xf numFmtId="0" fontId="1" fillId="15" borderId="7" xfId="0" applyFont="1" applyFill="1" applyBorder="1"/>
    <xf numFmtId="0" fontId="1" fillId="16" borderId="7" xfId="0" applyFont="1" applyFill="1" applyBorder="1"/>
    <xf numFmtId="0" fontId="1" fillId="17" borderId="7" xfId="0" applyFont="1" applyFill="1" applyBorder="1"/>
    <xf numFmtId="0" fontId="1" fillId="18" borderId="7" xfId="0" applyFont="1" applyFill="1" applyBorder="1"/>
    <xf numFmtId="0" fontId="1" fillId="19" borderId="8" xfId="0" applyFont="1" applyFill="1" applyBorder="1"/>
    <xf numFmtId="0" fontId="1" fillId="20" borderId="7" xfId="0" applyFont="1" applyFill="1" applyBorder="1"/>
    <xf numFmtId="0" fontId="1" fillId="21" borderId="7" xfId="0" applyFont="1" applyFill="1" applyBorder="1"/>
    <xf numFmtId="0" fontId="1" fillId="22" borderId="7" xfId="0" applyFont="1" applyFill="1" applyBorder="1"/>
    <xf numFmtId="0" fontId="1" fillId="5" borderId="7" xfId="0" applyFont="1" applyFill="1" applyBorder="1"/>
    <xf numFmtId="0" fontId="1" fillId="23" borderId="7" xfId="0" applyFont="1" applyFill="1" applyBorder="1"/>
    <xf numFmtId="0" fontId="1" fillId="24" borderId="7" xfId="0" applyFont="1" applyFill="1" applyBorder="1"/>
    <xf numFmtId="0" fontId="1" fillId="25" borderId="7" xfId="0" applyFont="1" applyFill="1" applyBorder="1"/>
    <xf numFmtId="0" fontId="1" fillId="7" borderId="8" xfId="0" applyFont="1" applyFill="1" applyBorder="1"/>
    <xf numFmtId="0" fontId="1" fillId="26" borderId="9" xfId="0" applyFont="1" applyFill="1" applyBorder="1"/>
    <xf numFmtId="0" fontId="1" fillId="27" borderId="9" xfId="0" applyFont="1" applyFill="1" applyBorder="1"/>
    <xf numFmtId="0" fontId="1" fillId="3" borderId="9" xfId="0" applyFont="1" applyFill="1" applyBorder="1"/>
    <xf numFmtId="0" fontId="1" fillId="5" borderId="9" xfId="0" applyFont="1" applyFill="1" applyBorder="1"/>
    <xf numFmtId="0" fontId="1" fillId="28" borderId="9" xfId="0" applyFont="1" applyFill="1" applyBorder="1"/>
    <xf numFmtId="0" fontId="1" fillId="7" borderId="9" xfId="0" applyFont="1" applyFill="1" applyBorder="1"/>
    <xf numFmtId="0" fontId="1" fillId="24" borderId="9" xfId="0" applyFont="1" applyFill="1" applyBorder="1"/>
    <xf numFmtId="0" fontId="1" fillId="29" borderId="9" xfId="0" applyFont="1" applyFill="1" applyBorder="1"/>
    <xf numFmtId="0" fontId="1" fillId="17" borderId="9" xfId="0" applyFont="1" applyFill="1" applyBorder="1"/>
    <xf numFmtId="0" fontId="1" fillId="30" borderId="9" xfId="0" applyFont="1" applyFill="1" applyBorder="1"/>
    <xf numFmtId="0" fontId="1" fillId="7" borderId="10" xfId="0" applyFont="1" applyFill="1" applyBorder="1"/>
    <xf numFmtId="0" fontId="1" fillId="16" borderId="5" xfId="0" applyFont="1" applyFill="1" applyBorder="1"/>
    <xf numFmtId="0" fontId="1" fillId="31" borderId="5" xfId="0" applyFont="1" applyFill="1" applyBorder="1"/>
    <xf numFmtId="0" fontId="1" fillId="32" borderId="5" xfId="0" applyFont="1" applyFill="1" applyBorder="1"/>
    <xf numFmtId="0" fontId="1" fillId="33" borderId="5" xfId="0" applyFont="1" applyFill="1" applyBorder="1"/>
    <xf numFmtId="0" fontId="1" fillId="17" borderId="5" xfId="0" applyFont="1" applyFill="1" applyBorder="1"/>
    <xf numFmtId="0" fontId="1" fillId="34" borderId="5" xfId="0" applyFont="1" applyFill="1" applyBorder="1"/>
    <xf numFmtId="0" fontId="1" fillId="29" borderId="5" xfId="0" applyFont="1" applyFill="1" applyBorder="1"/>
    <xf numFmtId="0" fontId="1" fillId="35" borderId="5" xfId="0" applyFont="1" applyFill="1" applyBorder="1"/>
    <xf numFmtId="0" fontId="1" fillId="36" borderId="6" xfId="0" applyFont="1" applyFill="1" applyBorder="1"/>
    <xf numFmtId="0" fontId="1" fillId="37" borderId="7" xfId="0" applyFont="1" applyFill="1" applyBorder="1"/>
    <xf numFmtId="0" fontId="1" fillId="38" borderId="7" xfId="0" applyFont="1" applyFill="1" applyBorder="1"/>
    <xf numFmtId="0" fontId="1" fillId="31" borderId="7" xfId="0" applyFont="1" applyFill="1" applyBorder="1"/>
    <xf numFmtId="0" fontId="1" fillId="39" borderId="7" xfId="0" applyFont="1" applyFill="1" applyBorder="1"/>
    <xf numFmtId="0" fontId="1" fillId="30" borderId="7" xfId="0" applyFont="1" applyFill="1" applyBorder="1"/>
    <xf numFmtId="0" fontId="1" fillId="40" borderId="7" xfId="0" applyFont="1" applyFill="1" applyBorder="1"/>
    <xf numFmtId="0" fontId="1" fillId="41" borderId="7" xfId="0" applyFont="1" applyFill="1" applyBorder="1"/>
    <xf numFmtId="0" fontId="1" fillId="42" borderId="7" xfId="0" applyFont="1" applyFill="1" applyBorder="1"/>
    <xf numFmtId="0" fontId="1" fillId="43" borderId="7" xfId="0" applyFont="1" applyFill="1" applyBorder="1"/>
    <xf numFmtId="0" fontId="1" fillId="44" borderId="8" xfId="0" applyFont="1" applyFill="1" applyBorder="1"/>
    <xf numFmtId="0" fontId="1" fillId="45" borderId="9" xfId="0" applyFont="1" applyFill="1" applyBorder="1"/>
    <xf numFmtId="0" fontId="1" fillId="31" borderId="9" xfId="0" applyFont="1" applyFill="1" applyBorder="1"/>
    <xf numFmtId="0" fontId="1" fillId="46" borderId="9" xfId="0" applyFont="1" applyFill="1" applyBorder="1"/>
    <xf numFmtId="0" fontId="1" fillId="47" borderId="9" xfId="0" applyFont="1" applyFill="1" applyBorder="1"/>
    <xf numFmtId="0" fontId="1" fillId="48" borderId="9" xfId="0" applyFont="1" applyFill="1" applyBorder="1"/>
    <xf numFmtId="0" fontId="1" fillId="38" borderId="9" xfId="0" applyFont="1" applyFill="1" applyBorder="1"/>
    <xf numFmtId="0" fontId="1" fillId="49" borderId="9" xfId="0" applyFont="1" applyFill="1" applyBorder="1"/>
    <xf numFmtId="0" fontId="1" fillId="50" borderId="9" xfId="0" applyFont="1" applyFill="1" applyBorder="1"/>
    <xf numFmtId="0" fontId="1" fillId="51" borderId="10" xfId="0" applyFont="1" applyFill="1" applyBorder="1"/>
    <xf numFmtId="0" fontId="1" fillId="52" borderId="5" xfId="0" applyFont="1" applyFill="1" applyBorder="1"/>
    <xf numFmtId="0" fontId="1" fillId="53" borderId="5" xfId="0" applyFont="1" applyFill="1" applyBorder="1"/>
    <xf numFmtId="0" fontId="1" fillId="54" borderId="5" xfId="0" applyFont="1" applyFill="1" applyBorder="1"/>
    <xf numFmtId="0" fontId="1" fillId="55" borderId="5" xfId="0" applyFont="1" applyFill="1" applyBorder="1"/>
    <xf numFmtId="0" fontId="1" fillId="56" borderId="5" xfId="0" applyFont="1" applyFill="1" applyBorder="1"/>
    <xf numFmtId="0" fontId="1" fillId="57" borderId="5" xfId="0" applyFont="1" applyFill="1" applyBorder="1"/>
    <xf numFmtId="0" fontId="1" fillId="58" borderId="6" xfId="0" applyFont="1" applyFill="1" applyBorder="1"/>
    <xf numFmtId="0" fontId="1" fillId="59" borderId="9" xfId="0" applyFont="1" applyFill="1" applyBorder="1"/>
    <xf numFmtId="0" fontId="1" fillId="60" borderId="9" xfId="0" applyFont="1" applyFill="1" applyBorder="1"/>
    <xf numFmtId="0" fontId="1" fillId="61" borderId="9" xfId="0" applyFont="1" applyFill="1" applyBorder="1"/>
    <xf numFmtId="0" fontId="1" fillId="62" borderId="9" xfId="0" applyFont="1" applyFill="1" applyBorder="1"/>
    <xf numFmtId="0" fontId="1" fillId="16" borderId="10" xfId="0" applyFont="1" applyFill="1" applyBorder="1"/>
    <xf numFmtId="0" fontId="1" fillId="63" borderId="5" xfId="0" applyFont="1" applyFill="1" applyBorder="1"/>
    <xf numFmtId="0" fontId="1" fillId="64" borderId="5" xfId="0" applyFont="1" applyFill="1" applyBorder="1"/>
    <xf numFmtId="0" fontId="1" fillId="61" borderId="5" xfId="0" applyFont="1" applyFill="1" applyBorder="1"/>
    <xf numFmtId="0" fontId="1" fillId="65" borderId="5" xfId="0" applyFont="1" applyFill="1" applyBorder="1"/>
    <xf numFmtId="0" fontId="1" fillId="12" borderId="5" xfId="0" applyFont="1" applyFill="1" applyBorder="1"/>
    <xf numFmtId="0" fontId="1" fillId="66" borderId="5" xfId="0" applyFont="1" applyFill="1" applyBorder="1"/>
    <xf numFmtId="0" fontId="1" fillId="20" borderId="6" xfId="0" applyFont="1" applyFill="1" applyBorder="1"/>
    <xf numFmtId="0" fontId="1" fillId="67" borderId="7" xfId="0" applyFont="1" applyFill="1" applyBorder="1"/>
    <xf numFmtId="0" fontId="1" fillId="27" borderId="7" xfId="0" applyFont="1" applyFill="1" applyBorder="1"/>
    <xf numFmtId="0" fontId="1" fillId="19" borderId="7" xfId="0" applyFont="1" applyFill="1" applyBorder="1"/>
    <xf numFmtId="0" fontId="1" fillId="68" borderId="7" xfId="0" applyFont="1" applyFill="1" applyBorder="1"/>
    <xf numFmtId="0" fontId="1" fillId="69" borderId="7" xfId="0" applyFont="1" applyFill="1" applyBorder="1"/>
    <xf numFmtId="0" fontId="1" fillId="70" borderId="7" xfId="0" applyFont="1" applyFill="1" applyBorder="1"/>
    <xf numFmtId="0" fontId="1" fillId="71" borderId="7" xfId="0" applyFont="1" applyFill="1" applyBorder="1"/>
    <xf numFmtId="0" fontId="1" fillId="72" borderId="8" xfId="0" applyFont="1" applyFill="1" applyBorder="1"/>
    <xf numFmtId="0" fontId="1" fillId="29" borderId="7" xfId="0" applyFont="1" applyFill="1" applyBorder="1"/>
    <xf numFmtId="0" fontId="1" fillId="73" borderId="7" xfId="0" applyFont="1" applyFill="1" applyBorder="1"/>
    <xf numFmtId="0" fontId="1" fillId="9" borderId="7" xfId="0" applyFont="1" applyFill="1" applyBorder="1"/>
    <xf numFmtId="0" fontId="1" fillId="65" borderId="7" xfId="0" applyFont="1" applyFill="1" applyBorder="1"/>
    <xf numFmtId="0" fontId="1" fillId="74" borderId="7" xfId="0" applyFont="1" applyFill="1" applyBorder="1"/>
    <xf numFmtId="0" fontId="1" fillId="20" borderId="8" xfId="0" applyFont="1" applyFill="1" applyBorder="1"/>
    <xf numFmtId="0" fontId="1" fillId="75" borderId="9" xfId="0" applyFont="1" applyFill="1" applyBorder="1"/>
    <xf numFmtId="0" fontId="1" fillId="76" borderId="9" xfId="0" applyFont="1" applyFill="1" applyBorder="1"/>
    <xf numFmtId="0" fontId="1" fillId="14" borderId="9" xfId="0" applyFont="1" applyFill="1" applyBorder="1"/>
    <xf numFmtId="0" fontId="1" fillId="65" borderId="9" xfId="0" applyFont="1" applyFill="1" applyBorder="1"/>
    <xf numFmtId="0" fontId="1" fillId="77" borderId="9" xfId="0" applyFont="1" applyFill="1" applyBorder="1"/>
    <xf numFmtId="0" fontId="1" fillId="78" borderId="9" xfId="0" applyFont="1" applyFill="1" applyBorder="1"/>
    <xf numFmtId="0" fontId="1" fillId="79" borderId="9" xfId="0" applyFont="1" applyFill="1" applyBorder="1"/>
    <xf numFmtId="0" fontId="1" fillId="80" borderId="9" xfId="0" applyFont="1" applyFill="1" applyBorder="1"/>
    <xf numFmtId="0" fontId="1" fillId="81" borderId="10" xfId="0" applyFont="1" applyFill="1" applyBorder="1"/>
    <xf numFmtId="0" fontId="1" fillId="82" borderId="3" xfId="0" applyFont="1" applyFill="1" applyBorder="1"/>
    <xf numFmtId="0" fontId="1" fillId="21" borderId="3" xfId="0" applyFont="1" applyFill="1" applyBorder="1"/>
    <xf numFmtId="0" fontId="1" fillId="7" borderId="3" xfId="0" applyFont="1" applyFill="1" applyBorder="1"/>
    <xf numFmtId="0" fontId="1" fillId="83" borderId="3" xfId="0" applyFont="1" applyFill="1" applyBorder="1"/>
    <xf numFmtId="0" fontId="1" fillId="84" borderId="3" xfId="0" applyFont="1" applyFill="1" applyBorder="1"/>
    <xf numFmtId="0" fontId="1" fillId="61" borderId="3" xfId="0" applyFont="1" applyFill="1" applyBorder="1"/>
    <xf numFmtId="0" fontId="1" fillId="85" borderId="3" xfId="0" applyFont="1" applyFill="1" applyBorder="1"/>
    <xf numFmtId="0" fontId="1" fillId="44" borderId="3" xfId="0" applyFont="1" applyFill="1" applyBorder="1"/>
    <xf numFmtId="0" fontId="1" fillId="16" borderId="1" xfId="0" applyFont="1" applyFill="1" applyBorder="1"/>
    <xf numFmtId="0" fontId="1" fillId="86" borderId="5" xfId="0" applyFont="1" applyFill="1" applyBorder="1"/>
    <xf numFmtId="0" fontId="1" fillId="27" borderId="5" xfId="0" applyFont="1" applyFill="1" applyBorder="1"/>
    <xf numFmtId="0" fontId="1" fillId="87" borderId="5" xfId="0" applyFont="1" applyFill="1" applyBorder="1"/>
    <xf numFmtId="0" fontId="1" fillId="79" borderId="5" xfId="0" applyFont="1" applyFill="1" applyBorder="1"/>
    <xf numFmtId="0" fontId="1" fillId="88" borderId="5" xfId="0" applyFont="1" applyFill="1" applyBorder="1"/>
    <xf numFmtId="0" fontId="1" fillId="33" borderId="6" xfId="0" applyFont="1" applyFill="1" applyBorder="1"/>
    <xf numFmtId="0" fontId="1" fillId="39" borderId="9" xfId="0" applyFont="1" applyFill="1" applyBorder="1"/>
    <xf numFmtId="0" fontId="1" fillId="84" borderId="9" xfId="0" applyFont="1" applyFill="1" applyBorder="1"/>
    <xf numFmtId="0" fontId="1" fillId="89" borderId="9" xfId="0" applyFont="1" applyFill="1" applyBorder="1"/>
    <xf numFmtId="0" fontId="1" fillId="90" borderId="10" xfId="0" applyFont="1" applyFill="1" applyBorder="1"/>
    <xf numFmtId="0" fontId="1" fillId="91" borderId="5" xfId="0" applyFont="1" applyFill="1" applyBorder="1"/>
    <xf numFmtId="0" fontId="1" fillId="32" borderId="6" xfId="0" applyFont="1" applyFill="1" applyBorder="1"/>
    <xf numFmtId="0" fontId="1" fillId="92" borderId="9" xfId="0" applyFont="1" applyFill="1" applyBorder="1"/>
    <xf numFmtId="0" fontId="1" fillId="8" borderId="9" xfId="0" applyFont="1" applyFill="1" applyBorder="1"/>
    <xf numFmtId="0" fontId="1" fillId="88" borderId="9" xfId="0" applyFont="1" applyFill="1" applyBorder="1"/>
    <xf numFmtId="0" fontId="1" fillId="93" borderId="9" xfId="0" applyFont="1" applyFill="1" applyBorder="1"/>
    <xf numFmtId="0" fontId="1" fillId="25" borderId="9" xfId="0" applyFont="1" applyFill="1" applyBorder="1"/>
    <xf numFmtId="0" fontId="1" fillId="94" borderId="10" xfId="0" applyFont="1" applyFill="1" applyBorder="1"/>
    <xf numFmtId="0" fontId="1" fillId="15" borderId="4" xfId="0" applyFont="1" applyFill="1" applyBorder="1"/>
    <xf numFmtId="0" fontId="1" fillId="61" borderId="4" xfId="0" applyFont="1" applyFill="1" applyBorder="1"/>
    <xf numFmtId="0" fontId="1" fillId="27" borderId="4" xfId="0" applyFont="1" applyFill="1" applyBorder="1"/>
    <xf numFmtId="0" fontId="1" fillId="80" borderId="4" xfId="0" applyFont="1" applyFill="1" applyBorder="1"/>
    <xf numFmtId="0" fontId="1" fillId="95" borderId="4" xfId="0" applyFont="1" applyFill="1" applyBorder="1"/>
    <xf numFmtId="0" fontId="1" fillId="7" borderId="4" xfId="0" applyFont="1" applyFill="1" applyBorder="1"/>
    <xf numFmtId="0" fontId="1" fillId="16" borderId="4" xfId="0" applyFont="1" applyFill="1" applyBorder="1"/>
    <xf numFmtId="0" fontId="1" fillId="96" borderId="4" xfId="0" applyFont="1" applyFill="1" applyBorder="1"/>
    <xf numFmtId="0" fontId="1" fillId="61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CEDC-F907-4EAF-BD51-4A41FE57A810}">
  <dimension ref="A1:T12"/>
  <sheetViews>
    <sheetView tabSelected="1" workbookViewId="0">
      <selection activeCell="J15" sqref="J15"/>
    </sheetView>
  </sheetViews>
  <sheetFormatPr defaultRowHeight="15" x14ac:dyDescent="0.25"/>
  <cols>
    <col min="9" max="9" width="27.28515625" bestFit="1" customWidth="1"/>
  </cols>
  <sheetData>
    <row r="1" spans="1:20" ht="15.75" thickBot="1" x14ac:dyDescent="0.3">
      <c r="A1" s="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26</v>
      </c>
      <c r="J1" t="s">
        <v>25</v>
      </c>
      <c r="K1" t="s">
        <v>27</v>
      </c>
      <c r="L1" t="s">
        <v>29</v>
      </c>
      <c r="M1" t="s">
        <v>30</v>
      </c>
      <c r="N1" t="s">
        <v>28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 spans="1:20" ht="15.75" thickBot="1" x14ac:dyDescent="0.3">
      <c r="A2" s="1" t="s">
        <v>0</v>
      </c>
      <c r="B2" s="2">
        <v>0.11</v>
      </c>
      <c r="C2" s="13">
        <v>0.09</v>
      </c>
      <c r="D2" s="22">
        <v>0.03</v>
      </c>
      <c r="E2" s="30">
        <v>0.03</v>
      </c>
      <c r="F2" s="41">
        <v>0.01</v>
      </c>
      <c r="G2" s="50">
        <v>0.05</v>
      </c>
      <c r="H2" s="60">
        <v>0.04</v>
      </c>
      <c r="I2" s="69">
        <v>0.06</v>
      </c>
      <c r="J2" s="76">
        <v>0.02</v>
      </c>
      <c r="K2" s="81">
        <v>0.08</v>
      </c>
      <c r="L2" s="88">
        <v>0.04</v>
      </c>
      <c r="M2" s="15">
        <v>0.01</v>
      </c>
      <c r="N2" s="102">
        <v>0.1</v>
      </c>
      <c r="O2" s="111">
        <v>0.1</v>
      </c>
      <c r="P2" s="47">
        <v>0.02</v>
      </c>
      <c r="Q2" s="103">
        <v>0.02</v>
      </c>
      <c r="R2" s="42">
        <v>0.02</v>
      </c>
      <c r="S2" s="78">
        <v>0.17</v>
      </c>
      <c r="T2" s="138">
        <v>0.03</v>
      </c>
    </row>
    <row r="3" spans="1:20" ht="15.75" thickBot="1" x14ac:dyDescent="0.3">
      <c r="A3" s="1" t="s">
        <v>1</v>
      </c>
      <c r="B3" s="3">
        <v>0.04</v>
      </c>
      <c r="C3" s="14">
        <v>0.04</v>
      </c>
      <c r="D3" s="23">
        <v>0.04</v>
      </c>
      <c r="E3" s="31">
        <v>0.04</v>
      </c>
      <c r="F3" s="11">
        <v>0.06</v>
      </c>
      <c r="G3" s="51">
        <v>0.06</v>
      </c>
      <c r="H3" s="35">
        <v>0.03</v>
      </c>
      <c r="I3" s="70">
        <v>0.11</v>
      </c>
      <c r="J3" s="35">
        <v>0.03</v>
      </c>
      <c r="K3" s="82">
        <v>0.03</v>
      </c>
      <c r="L3" s="89">
        <v>0.04</v>
      </c>
      <c r="M3" s="96">
        <v>0.03</v>
      </c>
      <c r="N3" s="103">
        <v>0.04</v>
      </c>
      <c r="O3" s="112">
        <v>0.04</v>
      </c>
      <c r="P3" s="120">
        <v>0.05</v>
      </c>
      <c r="Q3" s="36">
        <v>0.06</v>
      </c>
      <c r="R3" s="120">
        <v>0.05</v>
      </c>
      <c r="S3" s="132">
        <v>0.09</v>
      </c>
      <c r="T3" s="139">
        <v>0.14000000000000001</v>
      </c>
    </row>
    <row r="4" spans="1:20" ht="15.75" thickBot="1" x14ac:dyDescent="0.3">
      <c r="A4" s="1" t="s">
        <v>2</v>
      </c>
      <c r="B4" s="4">
        <v>0.08</v>
      </c>
      <c r="C4" s="15">
        <v>0</v>
      </c>
      <c r="D4" s="24">
        <v>0.01</v>
      </c>
      <c r="E4" s="32">
        <v>0.03</v>
      </c>
      <c r="F4" s="42">
        <v>0.02</v>
      </c>
      <c r="G4" s="52">
        <v>0.02</v>
      </c>
      <c r="H4" s="61">
        <v>0.02</v>
      </c>
      <c r="I4" s="7">
        <v>0</v>
      </c>
      <c r="J4" s="77">
        <v>0.01</v>
      </c>
      <c r="K4" s="83">
        <v>0.47</v>
      </c>
      <c r="L4" s="90">
        <v>7.0000000000000007E-2</v>
      </c>
      <c r="M4" s="97">
        <v>0.09</v>
      </c>
      <c r="N4" s="104">
        <v>0</v>
      </c>
      <c r="O4" s="113">
        <v>0</v>
      </c>
      <c r="P4" s="121">
        <v>0.03</v>
      </c>
      <c r="Q4" s="31">
        <v>0.03</v>
      </c>
      <c r="R4" s="9">
        <v>0.04</v>
      </c>
      <c r="S4" s="61">
        <v>0.02</v>
      </c>
      <c r="T4" s="140">
        <v>0.03</v>
      </c>
    </row>
    <row r="5" spans="1:20" ht="15.75" thickBot="1" x14ac:dyDescent="0.3">
      <c r="A5" s="1" t="s">
        <v>3</v>
      </c>
      <c r="B5" s="5">
        <v>0.05</v>
      </c>
      <c r="C5" s="16">
        <v>0.01</v>
      </c>
      <c r="D5" s="25">
        <v>0.05</v>
      </c>
      <c r="E5" s="33">
        <v>0.05</v>
      </c>
      <c r="F5" s="43">
        <v>0.05</v>
      </c>
      <c r="G5" s="53">
        <v>0.06</v>
      </c>
      <c r="H5" s="62">
        <v>0.04</v>
      </c>
      <c r="I5" s="71">
        <v>0.03</v>
      </c>
      <c r="J5" s="78">
        <v>0.12</v>
      </c>
      <c r="K5" s="84">
        <v>0.05</v>
      </c>
      <c r="L5" s="91">
        <v>0.04</v>
      </c>
      <c r="M5" s="15">
        <v>0.01</v>
      </c>
      <c r="N5" s="105">
        <v>0.05</v>
      </c>
      <c r="O5" s="114">
        <v>7.0000000000000007E-2</v>
      </c>
      <c r="P5" s="122">
        <v>0.11</v>
      </c>
      <c r="Q5" s="126">
        <v>0.06</v>
      </c>
      <c r="R5" s="10">
        <v>0.06</v>
      </c>
      <c r="S5" s="107">
        <v>0.05</v>
      </c>
      <c r="T5" s="141">
        <v>0.04</v>
      </c>
    </row>
    <row r="6" spans="1:20" ht="15.75" thickBot="1" x14ac:dyDescent="0.3">
      <c r="A6" s="1" t="s">
        <v>4</v>
      </c>
      <c r="B6" s="6">
        <v>0.06</v>
      </c>
      <c r="C6" s="17">
        <v>0.02</v>
      </c>
      <c r="D6" s="26">
        <v>0.06</v>
      </c>
      <c r="E6" s="34">
        <v>0.08</v>
      </c>
      <c r="F6" s="44">
        <v>0.03</v>
      </c>
      <c r="G6" s="54">
        <v>0.05</v>
      </c>
      <c r="H6" s="63">
        <v>7.0000000000000007E-2</v>
      </c>
      <c r="I6" s="4">
        <v>0.03</v>
      </c>
      <c r="J6" s="78">
        <v>0.11</v>
      </c>
      <c r="K6" s="81">
        <v>0.05</v>
      </c>
      <c r="L6" s="92">
        <v>0.04</v>
      </c>
      <c r="M6" s="98">
        <v>0.02</v>
      </c>
      <c r="N6" s="106">
        <v>0.06</v>
      </c>
      <c r="O6" s="115">
        <v>0.04</v>
      </c>
      <c r="P6" s="123">
        <v>0.02</v>
      </c>
      <c r="Q6" s="127">
        <v>0.04</v>
      </c>
      <c r="R6" s="7">
        <v>0.01</v>
      </c>
      <c r="S6" s="133">
        <v>0.1</v>
      </c>
      <c r="T6" s="142">
        <v>0.11</v>
      </c>
    </row>
    <row r="7" spans="1:20" ht="15.75" thickBot="1" x14ac:dyDescent="0.3">
      <c r="A7" s="1" t="s">
        <v>5</v>
      </c>
      <c r="B7" s="7">
        <v>0</v>
      </c>
      <c r="C7" s="15">
        <v>0</v>
      </c>
      <c r="D7" s="15">
        <v>0</v>
      </c>
      <c r="E7" s="35">
        <v>0</v>
      </c>
      <c r="F7" s="45">
        <v>0.11</v>
      </c>
      <c r="G7" s="55">
        <v>0.15</v>
      </c>
      <c r="H7" s="64">
        <v>7.0000000000000007E-2</v>
      </c>
      <c r="I7" s="7">
        <v>0</v>
      </c>
      <c r="J7" s="35">
        <v>0</v>
      </c>
      <c r="K7" s="45">
        <v>0.11</v>
      </c>
      <c r="L7" s="15">
        <v>0</v>
      </c>
      <c r="M7" s="99">
        <v>0.11</v>
      </c>
      <c r="N7" s="105">
        <v>0.11</v>
      </c>
      <c r="O7" s="116">
        <v>0.33</v>
      </c>
      <c r="P7" s="7">
        <v>0</v>
      </c>
      <c r="Q7" s="35">
        <v>0</v>
      </c>
      <c r="R7" s="7">
        <v>0</v>
      </c>
      <c r="S7" s="35">
        <v>0</v>
      </c>
      <c r="T7" s="143">
        <v>0</v>
      </c>
    </row>
    <row r="8" spans="1:20" ht="15.75" thickBot="1" x14ac:dyDescent="0.3">
      <c r="A8" s="1" t="s">
        <v>6</v>
      </c>
      <c r="B8" s="8">
        <v>0.09</v>
      </c>
      <c r="C8" s="18">
        <v>0.02</v>
      </c>
      <c r="D8" s="27">
        <v>0.05</v>
      </c>
      <c r="E8" s="36">
        <v>0.05</v>
      </c>
      <c r="F8" s="46">
        <v>0.05</v>
      </c>
      <c r="G8" s="56">
        <v>0.06</v>
      </c>
      <c r="H8" s="65">
        <v>0.04</v>
      </c>
      <c r="I8" s="72">
        <v>0.08</v>
      </c>
      <c r="J8" s="35">
        <v>0.02</v>
      </c>
      <c r="K8" s="85">
        <v>0.06</v>
      </c>
      <c r="L8" s="17">
        <v>0.03</v>
      </c>
      <c r="M8" s="17">
        <v>0.03</v>
      </c>
      <c r="N8" s="107">
        <v>0.05</v>
      </c>
      <c r="O8" s="117">
        <v>0.03</v>
      </c>
      <c r="P8" s="124">
        <v>7.0000000000000007E-2</v>
      </c>
      <c r="Q8" s="128">
        <v>0.06</v>
      </c>
      <c r="R8" s="120">
        <v>0.04</v>
      </c>
      <c r="S8" s="134">
        <v>7.0000000000000007E-2</v>
      </c>
      <c r="T8" s="139">
        <v>0.11</v>
      </c>
    </row>
    <row r="9" spans="1:20" ht="15.75" thickBot="1" x14ac:dyDescent="0.3">
      <c r="A9" s="1" t="s">
        <v>7</v>
      </c>
      <c r="B9" s="9">
        <v>0.03</v>
      </c>
      <c r="C9" s="15">
        <v>0.01</v>
      </c>
      <c r="D9" s="28">
        <v>0.01</v>
      </c>
      <c r="E9" s="37">
        <v>0.02</v>
      </c>
      <c r="F9" s="47">
        <v>0.02</v>
      </c>
      <c r="G9" s="57">
        <v>0.05</v>
      </c>
      <c r="H9" s="66">
        <v>0.03</v>
      </c>
      <c r="I9" s="73">
        <v>7.0000000000000007E-2</v>
      </c>
      <c r="J9" s="79">
        <v>0.14000000000000001</v>
      </c>
      <c r="K9" s="86">
        <v>0.05</v>
      </c>
      <c r="L9" s="93">
        <v>0.02</v>
      </c>
      <c r="M9" s="15">
        <v>0.01</v>
      </c>
      <c r="N9" s="108">
        <v>0.04</v>
      </c>
      <c r="O9" s="116">
        <v>0.28999999999999998</v>
      </c>
      <c r="P9" s="7">
        <v>0.01</v>
      </c>
      <c r="Q9" s="35">
        <v>0.01</v>
      </c>
      <c r="R9" s="130">
        <v>7.0000000000000007E-2</v>
      </c>
      <c r="S9" s="135">
        <v>0.11</v>
      </c>
      <c r="T9" s="144">
        <v>0.01</v>
      </c>
    </row>
    <row r="10" spans="1:20" ht="15.75" thickBot="1" x14ac:dyDescent="0.3">
      <c r="A10" s="1" t="s">
        <v>8</v>
      </c>
      <c r="B10" s="10">
        <v>0.06</v>
      </c>
      <c r="C10" s="19">
        <v>0.05</v>
      </c>
      <c r="D10" s="19">
        <v>0.05</v>
      </c>
      <c r="E10" s="38">
        <v>0.05</v>
      </c>
      <c r="F10" s="46">
        <v>0.05</v>
      </c>
      <c r="G10" s="56">
        <v>0.06</v>
      </c>
      <c r="H10" s="65">
        <v>0.04</v>
      </c>
      <c r="I10" s="72">
        <v>0.08</v>
      </c>
      <c r="J10" s="35">
        <v>0.02</v>
      </c>
      <c r="K10" s="85">
        <v>0.06</v>
      </c>
      <c r="L10" s="17">
        <v>0.03</v>
      </c>
      <c r="M10" s="17">
        <v>0.03</v>
      </c>
      <c r="N10" s="107">
        <v>0.05</v>
      </c>
      <c r="O10" s="118">
        <v>0.05</v>
      </c>
      <c r="P10" s="85">
        <v>0.06</v>
      </c>
      <c r="Q10" s="36">
        <v>0.05</v>
      </c>
      <c r="R10" s="120">
        <v>0.04</v>
      </c>
      <c r="S10" s="134">
        <v>7.0000000000000007E-2</v>
      </c>
      <c r="T10" s="139">
        <v>0.11</v>
      </c>
    </row>
    <row r="11" spans="1:20" ht="15.75" thickBot="1" x14ac:dyDescent="0.3">
      <c r="A11" s="1" t="s">
        <v>9</v>
      </c>
      <c r="B11" s="11">
        <v>0.05</v>
      </c>
      <c r="C11" s="20">
        <v>0.05</v>
      </c>
      <c r="D11" s="27">
        <v>0.06</v>
      </c>
      <c r="E11" s="39">
        <v>0.08</v>
      </c>
      <c r="F11" s="48">
        <v>0.04</v>
      </c>
      <c r="G11" s="58">
        <v>0.06</v>
      </c>
      <c r="H11" s="67">
        <v>0.11</v>
      </c>
      <c r="I11" s="74">
        <v>0.08</v>
      </c>
      <c r="J11" s="60">
        <v>0.04</v>
      </c>
      <c r="K11" s="48">
        <v>0.04</v>
      </c>
      <c r="L11" s="94">
        <v>0.01</v>
      </c>
      <c r="M11" s="100">
        <v>0.03</v>
      </c>
      <c r="N11" s="109">
        <v>0.06</v>
      </c>
      <c r="O11" s="116">
        <v>0.18</v>
      </c>
      <c r="P11" s="41">
        <v>0.01</v>
      </c>
      <c r="Q11" s="103">
        <v>0.02</v>
      </c>
      <c r="R11" s="7">
        <v>0.01</v>
      </c>
      <c r="S11" s="136">
        <v>0.01</v>
      </c>
      <c r="T11" s="145">
        <v>0.06</v>
      </c>
    </row>
    <row r="12" spans="1:20" ht="15.75" thickBot="1" x14ac:dyDescent="0.3">
      <c r="A12" s="1" t="s">
        <v>10</v>
      </c>
      <c r="B12" s="12">
        <v>0.08</v>
      </c>
      <c r="C12" s="21">
        <v>0.04</v>
      </c>
      <c r="D12" s="29">
        <v>0.02</v>
      </c>
      <c r="E12" s="40">
        <v>0.02</v>
      </c>
      <c r="F12" s="49">
        <v>0.05</v>
      </c>
      <c r="G12" s="59">
        <v>7.0000000000000007E-2</v>
      </c>
      <c r="H12" s="68">
        <v>0.03</v>
      </c>
      <c r="I12" s="75">
        <v>0.09</v>
      </c>
      <c r="J12" s="80">
        <v>0.02</v>
      </c>
      <c r="K12" s="87">
        <v>0.03</v>
      </c>
      <c r="L12" s="95">
        <v>0.04</v>
      </c>
      <c r="M12" s="101">
        <v>0.03</v>
      </c>
      <c r="N12" s="110">
        <v>0.04</v>
      </c>
      <c r="O12" s="119">
        <v>0.02</v>
      </c>
      <c r="P12" s="125">
        <v>0.05</v>
      </c>
      <c r="Q12" s="129">
        <v>7.0000000000000007E-2</v>
      </c>
      <c r="R12" s="131">
        <v>0.06</v>
      </c>
      <c r="S12" s="137">
        <v>0.09</v>
      </c>
      <c r="T12" s="146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B137-D446-448C-B253-619E16AE27BA}">
  <dimension ref="A1:S6"/>
  <sheetViews>
    <sheetView workbookViewId="0">
      <selection activeCell="B7" sqref="B7"/>
    </sheetView>
  </sheetViews>
  <sheetFormatPr defaultRowHeight="15" x14ac:dyDescent="0.25"/>
  <sheetData>
    <row r="1" spans="1:19" x14ac:dyDescent="0.25">
      <c r="A1" s="147">
        <v>0.33220883499999998</v>
      </c>
      <c r="B1" s="147">
        <v>0.57789473700000005</v>
      </c>
      <c r="C1" s="147">
        <v>0.55000000000000004</v>
      </c>
      <c r="D1" s="147">
        <v>0.1</v>
      </c>
      <c r="E1" s="147">
        <v>0.181300252</v>
      </c>
      <c r="F1" s="147">
        <v>0.79064725700000005</v>
      </c>
      <c r="G1" s="147">
        <v>0.35957446799999998</v>
      </c>
      <c r="H1" s="147">
        <v>0.57789473700000005</v>
      </c>
      <c r="I1" s="147">
        <v>0.14285714299999999</v>
      </c>
      <c r="J1" s="147">
        <v>8.1059999999999993E-2</v>
      </c>
      <c r="K1" s="147">
        <v>0.36</v>
      </c>
      <c r="L1" s="147">
        <v>0.5</v>
      </c>
      <c r="M1" s="147">
        <v>0.5</v>
      </c>
    </row>
    <row r="2" spans="1:19" x14ac:dyDescent="0.25">
      <c r="A2">
        <v>0.11</v>
      </c>
      <c r="B2">
        <v>0.09</v>
      </c>
      <c r="C2">
        <v>0.03</v>
      </c>
      <c r="D2">
        <v>0.03</v>
      </c>
      <c r="E2">
        <v>0.01</v>
      </c>
      <c r="F2">
        <v>0.05</v>
      </c>
      <c r="G2">
        <v>0.04</v>
      </c>
      <c r="H2">
        <v>0.06</v>
      </c>
      <c r="I2">
        <v>0.02</v>
      </c>
      <c r="J2">
        <v>0.08</v>
      </c>
      <c r="K2">
        <v>0.04</v>
      </c>
      <c r="L2">
        <v>0.01</v>
      </c>
      <c r="M2">
        <v>0.1</v>
      </c>
      <c r="N2">
        <v>0.1</v>
      </c>
      <c r="O2">
        <v>0.02</v>
      </c>
      <c r="P2">
        <v>0.02</v>
      </c>
      <c r="Q2">
        <v>0.02</v>
      </c>
      <c r="R2">
        <v>0.17</v>
      </c>
      <c r="S2">
        <v>0.03</v>
      </c>
    </row>
    <row r="4" spans="1:19" x14ac:dyDescent="0.25">
      <c r="A4">
        <f>A1*A2</f>
        <v>3.6542971850000001E-2</v>
      </c>
      <c r="B4">
        <f t="shared" ref="B4:M4" si="0">B1*B2</f>
        <v>5.2010526330000001E-2</v>
      </c>
      <c r="C4">
        <f t="shared" si="0"/>
        <v>1.6500000000000001E-2</v>
      </c>
      <c r="D4">
        <f t="shared" si="0"/>
        <v>3.0000000000000001E-3</v>
      </c>
      <c r="E4">
        <f t="shared" si="0"/>
        <v>1.8130025200000001E-3</v>
      </c>
      <c r="F4">
        <f t="shared" si="0"/>
        <v>3.9532362850000002E-2</v>
      </c>
      <c r="G4">
        <f t="shared" si="0"/>
        <v>1.438297872E-2</v>
      </c>
      <c r="H4">
        <f t="shared" si="0"/>
        <v>3.4673684220000001E-2</v>
      </c>
      <c r="I4">
        <f t="shared" si="0"/>
        <v>2.85714286E-3</v>
      </c>
      <c r="J4">
        <f t="shared" si="0"/>
        <v>6.4847999999999998E-3</v>
      </c>
      <c r="K4">
        <f t="shared" si="0"/>
        <v>1.44E-2</v>
      </c>
      <c r="L4">
        <f t="shared" si="0"/>
        <v>5.0000000000000001E-3</v>
      </c>
      <c r="M4">
        <f t="shared" si="0"/>
        <v>0.05</v>
      </c>
    </row>
    <row r="6" spans="1:19" x14ac:dyDescent="0.25">
      <c r="B6">
        <f>SUM(A4:D4)</f>
        <v>0.10805349818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Pien</dc:creator>
  <cp:lastModifiedBy>Cat Pien</cp:lastModifiedBy>
  <dcterms:created xsi:type="dcterms:W3CDTF">2026-04-03T16:56:27Z</dcterms:created>
  <dcterms:modified xsi:type="dcterms:W3CDTF">2026-04-07T14:18:56Z</dcterms:modified>
</cp:coreProperties>
</file>